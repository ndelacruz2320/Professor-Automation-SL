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d\Downloads\"/>
    </mc:Choice>
  </mc:AlternateContent>
  <xr:revisionPtr revIDLastSave="0" documentId="13_ncr:1_{5238728D-A2BA-4D20-BA27-1ED38D27F76F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ster" sheetId="2" r:id="rId1"/>
    <sheet name="Salary Info" sheetId="1" r:id="rId2"/>
  </sheets>
  <functionGroups builtInGroupCount="19"/>
  <definedNames>
    <definedName name="AssistantStep10">'Salary Info'!$C$11</definedName>
    <definedName name="AssistantStep11">'Salary Info'!$C$12</definedName>
    <definedName name="AssistantStep12">'Salary Info'!$C$13</definedName>
    <definedName name="AssistantStep13">'Salary Info'!$C$14</definedName>
    <definedName name="AssistantStep14">'Salary Info'!$C$15</definedName>
    <definedName name="AssistantStep4">'Salary Info'!$C$5</definedName>
    <definedName name="AssistantStep5">'Salary Info'!$C$6</definedName>
    <definedName name="AssistantStep6">'Salary Info'!$C$7</definedName>
    <definedName name="AssistantStep7">'Salary Info'!$C$8</definedName>
    <definedName name="AssistantStep8">'Salary Info'!$C$9</definedName>
    <definedName name="AssistantStep9">'Salary Info'!$C$10</definedName>
    <definedName name="AssociateStep10">'Salary Info'!$D$11</definedName>
    <definedName name="AssociateStep11">'Salary Info'!$D$12</definedName>
    <definedName name="AssociateStep12">'Salary Info'!$D$13</definedName>
    <definedName name="AssociateStep13">'Salary Info'!$D$14</definedName>
    <definedName name="AssociateStep14">'Salary Info'!$D$15</definedName>
    <definedName name="AssociateStep15">'Salary Info'!$D$16</definedName>
    <definedName name="AssociateStep16">'Salary Info'!$D$17</definedName>
    <definedName name="AssociateStep17">'Salary Info'!$D$18</definedName>
    <definedName name="AssociateStep18">'Salary Info'!$D$19</definedName>
    <definedName name="AssociateStep19">'Salary Info'!$D$20</definedName>
    <definedName name="AssociateStep20">'Salary Info'!$D$21</definedName>
    <definedName name="AssociateStep21">'Salary Info'!$D$22</definedName>
    <definedName name="AssociateStep9">'Salary Info'!$D$10</definedName>
    <definedName name="Base_Salary">'Salary Info'!$P$1</definedName>
    <definedName name="InstructorStep1">'Salary Info'!$B$2</definedName>
    <definedName name="InstructorStep2">'Salary Info'!$B$3</definedName>
    <definedName name="InstructorStep3">'Salary Info'!$B$4</definedName>
    <definedName name="InstructorStep4">'Salary Info'!$B$5</definedName>
    <definedName name="InstructorStep5">'Salary Info'!$B$6</definedName>
    <definedName name="InstructorStep6">'Salary Info'!$B$7</definedName>
    <definedName name="InstructorStep7">'Salary Info'!$B$8</definedName>
    <definedName name="InstructorStep8">'Salary Info'!$B$9</definedName>
    <definedName name="ProfessorStep15">'Salary Info'!$E$16</definedName>
    <definedName name="ProfessorStep16">'Salary Info'!$E$17</definedName>
    <definedName name="ProfessorStep17">'Salary Info'!$E$18</definedName>
    <definedName name="ProfessorStep18">'Salary Info'!$E$19</definedName>
    <definedName name="ProfessorStep19">'Salary Info'!$E$20</definedName>
    <definedName name="ProfessorStep20">'Salary Info'!$E$21</definedName>
    <definedName name="ProfessorStep21">'Salary Info'!$E$22</definedName>
    <definedName name="ProfessorStep22">'Salary Info'!$E$23</definedName>
    <definedName name="ProfessorStep23">'Salary Info'!$E$24</definedName>
    <definedName name="ProfessorStep24">'Salary Info'!$E$25</definedName>
    <definedName name="ProfessorStep25">'Salary Info'!$E$26</definedName>
    <definedName name="ProfessorStep26">'Salary Info'!$E$27</definedName>
    <definedName name="ProfessorStep27">'Salary Info'!$E$28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2" l="1"/>
  <c r="F2" i="2"/>
  <c r="H2" i="2" s="1"/>
  <c r="N2" i="2" s="1"/>
  <c r="O2" i="2" s="1"/>
  <c r="G2" i="2"/>
  <c r="J2" i="2"/>
  <c r="M2" i="2" s="1"/>
  <c r="K2" i="2"/>
  <c r="X2" i="2"/>
  <c r="Z2" i="2" s="1"/>
  <c r="R3" i="2"/>
  <c r="J3" i="2"/>
  <c r="K3" i="2"/>
  <c r="X3" i="2"/>
  <c r="Z3" i="2" s="1"/>
  <c r="G3" i="2"/>
  <c r="F3" i="2"/>
  <c r="AE3" i="2" s="1"/>
  <c r="R2" i="2" l="1"/>
  <c r="S2" i="2" s="1"/>
  <c r="P2" i="2"/>
  <c r="Q2" i="2" s="1"/>
  <c r="AE2" i="2"/>
  <c r="H3" i="2"/>
  <c r="N3" i="2" s="1"/>
  <c r="O3" i="2" s="1"/>
  <c r="P3" i="2" l="1"/>
  <c r="Q3" i="2" s="1"/>
  <c r="S3" i="2"/>
  <c r="Q29" i="1" l="1"/>
  <c r="Q28" i="1"/>
  <c r="Q27" i="1"/>
  <c r="Q26" i="1"/>
  <c r="Q25" i="1"/>
  <c r="Q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P16" i="1"/>
  <c r="O16" i="1"/>
  <c r="P15" i="1"/>
  <c r="O15" i="1"/>
  <c r="P14" i="1"/>
  <c r="O14" i="1"/>
  <c r="P13" i="1"/>
  <c r="O13" i="1"/>
  <c r="P12" i="1"/>
  <c r="O12" i="1"/>
  <c r="P11" i="1"/>
  <c r="O11" i="1"/>
  <c r="O10" i="1"/>
  <c r="N10" i="1"/>
  <c r="O9" i="1"/>
  <c r="N9" i="1"/>
  <c r="O8" i="1"/>
  <c r="N8" i="1"/>
  <c r="O7" i="1"/>
  <c r="N7" i="1"/>
  <c r="O6" i="1"/>
  <c r="N6" i="1"/>
  <c r="N5" i="1"/>
  <c r="N4" i="1"/>
  <c r="N3" i="1"/>
  <c r="AA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tc={121685B3-6D56-4AF2-94D3-C29B75EC9C59}</author>
    <author>tc={5B26660E-3911-41A8-9307-88F1012FA4C8}</author>
  </authors>
  <commentList>
    <comment ref="M4" authorId="0" shapeId="0" xr:uid="{121685B3-6D56-4AF2-94D3-C29B75EC9C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longer used in monetary calculation</t>
      </text>
    </comment>
    <comment ref="P4" authorId="1" shapeId="0" xr:uid="{5B26660E-3911-41A8-9307-88F1012FA4C8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does the " # of units Reduced" come into these calculations, without using months?</t>
      </text>
    </comment>
  </commentList>
</comments>
</file>

<file path=xl/sharedStrings.xml><?xml version="1.0" encoding="utf-8"?>
<sst xmlns="http://schemas.openxmlformats.org/spreadsheetml/2006/main" count="139" uniqueCount="70">
  <si>
    <t>Step Factors</t>
  </si>
  <si>
    <t>Instructor</t>
  </si>
  <si>
    <t>Assistant</t>
  </si>
  <si>
    <t>Associate</t>
  </si>
  <si>
    <t>Professor</t>
  </si>
  <si>
    <t>Valid Steps</t>
  </si>
  <si>
    <t>Salary Info</t>
  </si>
  <si>
    <t>Base Salary</t>
  </si>
  <si>
    <t>Rank Codes</t>
  </si>
  <si>
    <t>Rank</t>
  </si>
  <si>
    <t>Step1</t>
  </si>
  <si>
    <t>Step2</t>
  </si>
  <si>
    <t>Step3</t>
  </si>
  <si>
    <t>Step4</t>
  </si>
  <si>
    <t>Step5</t>
  </si>
  <si>
    <t>Step6</t>
  </si>
  <si>
    <t>Step7</t>
  </si>
  <si>
    <t>Step8</t>
  </si>
  <si>
    <t>Step9</t>
  </si>
  <si>
    <t>Step10</t>
  </si>
  <si>
    <t>Step11</t>
  </si>
  <si>
    <t>Step12</t>
  </si>
  <si>
    <t>Step13</t>
  </si>
  <si>
    <t>Step14</t>
  </si>
  <si>
    <t>Step15</t>
  </si>
  <si>
    <t>Step16</t>
  </si>
  <si>
    <t>Step17</t>
  </si>
  <si>
    <t>Step18</t>
  </si>
  <si>
    <t>Step19</t>
  </si>
  <si>
    <t>Step20</t>
  </si>
  <si>
    <t>Step21</t>
  </si>
  <si>
    <t>Step22</t>
  </si>
  <si>
    <t>Step23</t>
  </si>
  <si>
    <t>Step24</t>
  </si>
  <si>
    <t>Step25</t>
  </si>
  <si>
    <t>Step26</t>
  </si>
  <si>
    <t>Step27</t>
  </si>
  <si>
    <t>Faculty ID</t>
  </si>
  <si>
    <t>First Name</t>
  </si>
  <si>
    <t>Last Name</t>
  </si>
  <si>
    <t>Rank Code</t>
  </si>
  <si>
    <t>Salary Step</t>
  </si>
  <si>
    <t>Paid at Step</t>
  </si>
  <si>
    <t>Salary Factor</t>
  </si>
  <si>
    <t>Contract Salary</t>
  </si>
  <si>
    <t>Monthly Salary</t>
  </si>
  <si>
    <t>Department</t>
  </si>
  <si>
    <t>Title</t>
  </si>
  <si>
    <t>Contract Term</t>
  </si>
  <si>
    <t>Alpha Term</t>
  </si>
  <si>
    <t>Academic Year</t>
  </si>
  <si>
    <t>Exp. Date</t>
  </si>
  <si>
    <t>Step for Dissertation</t>
  </si>
  <si>
    <t>Steps for Promotion</t>
  </si>
  <si>
    <t>Auto-Generated Notes</t>
  </si>
  <si>
    <t>Additional Notes</t>
  </si>
  <si>
    <t>Merge Language</t>
  </si>
  <si>
    <t>Summer Activity</t>
  </si>
  <si>
    <t>Total # of Units</t>
  </si>
  <si>
    <t># Semesters</t>
  </si>
  <si>
    <t># of Teaching Units</t>
  </si>
  <si>
    <t xml:space="preserve"># of Units Reduced </t>
  </si>
  <si>
    <t>Faculty Member Salary</t>
  </si>
  <si>
    <t>Per Unit Value</t>
  </si>
  <si>
    <t>Additional Units for Department Chair</t>
  </si>
  <si>
    <t>Additional Units for Summer Responsibilities</t>
  </si>
  <si>
    <t># of Service Units</t>
  </si>
  <si>
    <t>Mary-Lynn</t>
  </si>
  <si>
    <t>Hewett</t>
  </si>
  <si>
    <t>Summer/Department Chair Additional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</si>
</sst>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0.000_)"/>
    <numFmt numFmtId="165" formatCode="&quot;$&quot;#,##0"/>
    <numFmt numFmtId="166" formatCode="000000"/>
    <numFmt numFmtId="167" formatCode="_(&quot;$&quot;* #,##0_);_(&quot;$&quot;* \(#,##0\);_(&quot;$&quot;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Optima"/>
    </font>
    <font>
      <sz val="11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4" fillId="0" borderId="0" xfId="0" applyNumberFormat="1" applyFont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/>
      <protection locked="0"/>
    </xf>
    <xf numFmtId="3" fontId="0" fillId="3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44" fontId="0" fillId="0" borderId="0" xfId="0" applyNumberFormat="1" applyAlignment="1" applyProtection="1">
      <alignment horizontal="center" vertical="center" wrapText="1"/>
      <protection locked="0"/>
    </xf>
    <xf numFmtId="0" fontId="5" fillId="6" borderId="0" xfId="0" applyFont="1" applyFill="1" applyAlignment="1">
      <alignment horizontal="center" vertical="center" wrapText="1"/>
    </xf>
    <xf numFmtId="167" fontId="0" fillId="0" borderId="0" xfId="1" applyNumberFormat="1" applyFont="1" applyAlignment="1">
      <alignment horizontal="center" vertical="center" wrapText="1"/>
    </xf>
    <xf numFmtId="0" fontId="0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167" fontId="0" fillId="7" borderId="0" xfId="1" applyNumberFormat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42" fontId="0" fillId="7" borderId="0" xfId="0" applyNumberForma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ICO DELA CRUZ" id="{FBE0849F-E2F3-4CBF-8F49-D231B5F218C3}" userId="f87e5efbfcab0d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" dT="2020-04-23T19:32:53.07" personId="{FBE0849F-E2F3-4CBF-8F49-D231B5F218C3}" id="{121685B3-6D56-4AF2-94D3-C29B75EC9C59}">
    <text>No longer used in monetary calculation</text>
  </threadedComment>
  <threadedComment ref="P4" dT="2020-04-23T19:33:41.05" personId="{FBE0849F-E2F3-4CBF-8F49-D231B5F218C3}" id="{5B26660E-3911-41A8-9307-88F1012FA4C8}">
    <text>Where does the " # of units Reduced" come into these calculations, without using months?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504"/>
  <sheetViews>
    <sheetView tabSelected="1" workbookViewId="0">
      <pane xSplit="3" ySplit="1" topLeftCell="I2" activePane="bottomRight" state="frozen"/>
      <selection pane="topRight" activeCell="D1" sqref="D1"/>
      <selection pane="bottomLeft" activeCell="A2" sqref="A2"/>
      <selection pane="bottomRight" activeCell="P9" sqref="P9"/>
    </sheetView>
  </sheetViews>
  <sheetFormatPr defaultColWidth="8.88671875" defaultRowHeight="14.4"/>
  <cols>
    <col min="1" max="1" width="10.5546875" style="13" customWidth="1"/>
    <col min="2" max="3" width="15.5546875" style="13" customWidth="1"/>
    <col min="4" max="7" width="10.5546875" style="13" customWidth="1"/>
    <col min="8" max="11" width="12.5546875" style="13" customWidth="1"/>
    <col min="12" max="13" width="10.5546875" style="13" customWidth="1"/>
    <col min="14" max="17" width="15.5546875" style="13" customWidth="1"/>
    <col min="18" max="20" width="18.5546875" style="13" customWidth="1"/>
    <col min="21" max="25" width="15.5546875" style="13" customWidth="1"/>
    <col min="26" max="26" width="12.5546875" style="13" customWidth="1"/>
    <col min="27" max="28" width="18.5546875" style="13" customWidth="1"/>
    <col min="29" max="30" width="25.5546875" style="13" customWidth="1"/>
    <col min="31" max="32" width="50.5546875" style="13" customWidth="1"/>
    <col min="33" max="16384" width="8.88671875" style="13"/>
  </cols>
  <sheetData>
    <row r="1" spans="1:32" ht="24" customHeight="1">
      <c r="A1" s="13" t="s">
        <v>37</v>
      </c>
      <c r="B1" s="13" t="s">
        <v>38</v>
      </c>
      <c r="C1" s="13" t="s">
        <v>39</v>
      </c>
      <c r="D1" s="13" t="s">
        <v>40</v>
      </c>
      <c r="E1" s="13" t="s">
        <v>41</v>
      </c>
      <c r="F1" s="19" t="s">
        <v>42</v>
      </c>
      <c r="G1" s="19" t="s">
        <v>9</v>
      </c>
      <c r="H1" s="19" t="s">
        <v>43</v>
      </c>
      <c r="I1" s="26" t="s">
        <v>59</v>
      </c>
      <c r="J1" s="19" t="s">
        <v>60</v>
      </c>
      <c r="K1" s="19" t="s">
        <v>66</v>
      </c>
      <c r="L1" s="26" t="s">
        <v>61</v>
      </c>
      <c r="M1" s="19" t="s">
        <v>58</v>
      </c>
      <c r="N1" s="27" t="s">
        <v>62</v>
      </c>
      <c r="O1" s="27" t="s">
        <v>63</v>
      </c>
      <c r="P1" s="27" t="s">
        <v>44</v>
      </c>
      <c r="Q1" s="27" t="s">
        <v>45</v>
      </c>
      <c r="R1" s="19" t="s">
        <v>69</v>
      </c>
      <c r="S1" s="19" t="s">
        <v>56</v>
      </c>
      <c r="T1" s="24" t="s">
        <v>57</v>
      </c>
      <c r="U1" s="13" t="s">
        <v>46</v>
      </c>
      <c r="V1" s="13" t="s">
        <v>47</v>
      </c>
      <c r="W1" s="13" t="s">
        <v>48</v>
      </c>
      <c r="X1" s="13" t="s">
        <v>49</v>
      </c>
      <c r="Y1" s="13" t="s">
        <v>50</v>
      </c>
      <c r="Z1" s="13" t="s">
        <v>51</v>
      </c>
      <c r="AA1" s="13" t="s">
        <v>52</v>
      </c>
      <c r="AB1" s="13" t="s">
        <v>53</v>
      </c>
      <c r="AC1" s="26" t="s">
        <v>64</v>
      </c>
      <c r="AD1" s="26" t="s">
        <v>65</v>
      </c>
      <c r="AE1" s="19" t="s">
        <v>54</v>
      </c>
      <c r="AF1" s="13" t="s">
        <v>55</v>
      </c>
    </row>
    <row r="2" spans="1:32" ht="31.2" customHeight="1">
      <c r="A2" s="20">
        <v>123455</v>
      </c>
      <c r="B2" s="13" t="s">
        <v>67</v>
      </c>
      <c r="C2" s="13" t="s">
        <v>68</v>
      </c>
      <c r="D2" s="13">
        <v>4</v>
      </c>
      <c r="E2" s="13">
        <v>20</v>
      </c>
      <c r="F2" s="13">
        <f>IF(ISBLANK(E2),"",IF(AND(D2&gt;1,E2&lt;10),10,IF(AND(AA2&gt;0,AB2&gt;0),AA2+AB2+E2,IF(AA2&gt;0,AA2+E2,IF(AB2&gt;0,AB2+E2,E2)))))</f>
        <v>20</v>
      </c>
      <c r="G2" s="13" t="str">
        <f>VLOOKUP(D2,'Salary Info'!$S$2:$T$5,2,FALSE)</f>
        <v>Professor</v>
      </c>
      <c r="H2" s="13">
        <f>VLOOKUP(CONCATENATE("Step",F2),'Salary Info'!$A$2:$E$28,D2+1,FALSE)</f>
        <v>1.9</v>
      </c>
      <c r="I2" s="13">
        <v>1</v>
      </c>
      <c r="J2" s="13" t="str">
        <f>IF(I2=2,"24",IF(I2=3,"24",IF(I2=1,"12","Invalid # of Semesters")))</f>
        <v>12</v>
      </c>
      <c r="K2" s="13">
        <f>IF(I2=2,8,IF(I2=3,9,IF(I2=1,4)))</f>
        <v>4</v>
      </c>
      <c r="L2" s="13">
        <v>0</v>
      </c>
      <c r="M2" s="31">
        <f>(J2+K2+AC2+AD2)-L2</f>
        <v>18.670000000000002</v>
      </c>
      <c r="N2" s="28">
        <f>IF(I2=1,(Base_Salary*H2)/2,IF(I2=2,Base_Salary*H2,IF(I2=3,(Base_Salary*H2))))</f>
        <v>46993.649999999994</v>
      </c>
      <c r="O2" s="28">
        <f>(N2)/(J2)</f>
        <v>3916.1374999999994</v>
      </c>
      <c r="P2" s="32">
        <f>IF(I2=1,(O2*((J2-L2))+((AC2*O2)+(AD2*O2))),IF(I2=2,(O2*((J2-L2))+((AC2*O2)+(AD2*O2))),IF(I2=3,(O2*((J2-L2))+((AC2*O2)+(AD2*O2))))))</f>
        <v>57449.737124999992</v>
      </c>
      <c r="Q2" s="28">
        <f>P2/9</f>
        <v>6383.3041249999987</v>
      </c>
      <c r="R2" s="25">
        <f>IF(AD2&gt;0,AD2*O2,IF(AC2 &gt; 0, AC2*O2,"N/A"))</f>
        <v>10456.087124999998</v>
      </c>
      <c r="S2" s="21" t="str">
        <f>IF(R2=0,"","Included in the above salary is ")</f>
        <v xml:space="preserve">Included in the above salary is </v>
      </c>
      <c r="T2" s="21"/>
      <c r="X2" s="13" t="str">
        <f>IF(ISBLANK(W2),"Tenure",CONCATENATE(GetDigit(W2)," year"))</f>
        <v>Tenure</v>
      </c>
      <c r="Z2" s="13" t="str">
        <f>IF(X2="Tenure","",Y2+W2)</f>
        <v/>
      </c>
      <c r="AA2" s="29"/>
      <c r="AC2" s="31">
        <v>0</v>
      </c>
      <c r="AD2" s="30">
        <v>2.67</v>
      </c>
      <c r="AE2" s="13" t="str">
        <f>CONCATENATE(IF(E2&lt;&gt;F2,"Salary Step "&amp;E2&amp;", Paid at Step "&amp;F2&amp;"; ",""),IF(AA2&gt;0,"Additional Step Received for Dissertation; ",""),IF(AB2&gt;0,"Additional Step(s) Received for Promotion; ",""),IF(AC2&gt;0,"Additional Units for Department Chair; ",""),IF(AD2&gt;0,"Additional Units for Summer Responsibilities; ",""),IF(L2&gt;0,"Reduced Course Load;",""))</f>
        <v xml:space="preserve">Additional Units for Summer Responsibilities; </v>
      </c>
    </row>
    <row r="3" spans="1:32" ht="27.6" customHeight="1">
      <c r="A3" s="20">
        <v>123456</v>
      </c>
      <c r="B3" s="13" t="s">
        <v>67</v>
      </c>
      <c r="C3" s="13" t="s">
        <v>68</v>
      </c>
      <c r="D3" s="13">
        <v>4</v>
      </c>
      <c r="E3" s="13">
        <v>20</v>
      </c>
      <c r="F3" s="13">
        <f>IF(ISBLANK(E3),"",IF(AND(D3&gt;1,E3&lt;10),10,IF(AND(AA3&gt;0,AB3&gt;0),AA3+AB3+E3,IF(AA3&gt;0,AA3+E3,IF(AB3&gt;0,AB3+E3,E3)))))</f>
        <v>20</v>
      </c>
      <c r="G3" s="13" t="str">
        <f>VLOOKUP(D3,'Salary Info'!$S$2:$T$5,2,FALSE)</f>
        <v>Professor</v>
      </c>
      <c r="H3" s="13">
        <f>VLOOKUP(CONCATENATE("Step",F3),'Salary Info'!$A$2:$E$28,D3+1,FALSE)</f>
        <v>1.9</v>
      </c>
      <c r="I3" s="13">
        <v>2</v>
      </c>
      <c r="J3" s="13" t="str">
        <f>IF(I3=2,"24",IF(I3=3,"24",IF(I3=1,"12","Invalid # of Semesters")))</f>
        <v>24</v>
      </c>
      <c r="K3" s="13">
        <f>IF(I3=2,8,IF(I3=3,9,IF(I3=1,4)))</f>
        <v>8</v>
      </c>
      <c r="L3" s="13">
        <v>0</v>
      </c>
      <c r="M3" s="31">
        <f>(J3+K3+AC3+AD3)-L3</f>
        <v>34.67</v>
      </c>
      <c r="N3" s="28">
        <f>IF(I3=1,(Base_Salary*H3)/2,IF(I3=2,Base_Salary*H3,IF(I3=3,(Base_Salary*H3))))</f>
        <v>93987.299999999988</v>
      </c>
      <c r="O3" s="28">
        <f>(N3)/(J3)</f>
        <v>3916.1374999999994</v>
      </c>
      <c r="P3" s="32">
        <f>IF(I3=1,(O3*((J3-L3))+((AC3*O3)+(AD3*O3))),IF(I3=2,(O3*((J3-L3))+((AC3*O3)+(AD3*O3))),IF(I3=3,(O3*((J3-L3))+((AC3*O3)+(AD3*O3))))))</f>
        <v>104443.38712499998</v>
      </c>
      <c r="Q3" s="28">
        <f>P3/9</f>
        <v>11604.820791666665</v>
      </c>
      <c r="R3" s="25">
        <f>IF(AD3&gt;0,AD3*O3,IF(AC3 &gt; 0, AC3*O3,"N/A"))</f>
        <v>10456.087124999998</v>
      </c>
      <c r="S3" s="21" t="str">
        <f>IF(R3=0,"","Included in the above salary is ")</f>
        <v xml:space="preserve">Included in the above salary is </v>
      </c>
      <c r="T3" s="21"/>
      <c r="X3" s="13" t="str">
        <f>IF(ISBLANK(W3),"Tenure",CONCATENATE(GetDigit(W3)," year"))</f>
        <v>Tenure</v>
      </c>
      <c r="Z3" s="13" t="str">
        <f>IF(X3="Tenure","",Y3+W3)</f>
        <v/>
      </c>
      <c r="AA3" s="29"/>
      <c r="AC3" s="31">
        <v>0</v>
      </c>
      <c r="AD3" s="30">
        <v>2.67</v>
      </c>
      <c r="AE3" s="13" t="str">
        <f>CONCATENATE(IF(E3&lt;&gt;F3,"Salary Step "&amp;E3&amp;", Paid at Step "&amp;F3&amp;"; ",""),IF(AA3&gt;0,"Additional Step Received for Dissertation; ",""),IF(AB3&gt;0,"Additional Step(s) Received for Promotion; ",""),IF(AC3&gt;0,"Additional Units for Department Chair; ",""),IF(AD3&gt;0,"Additional Units for Summer Responsibilities; ",""),IF(L3&gt;0,"Reduced Course Load;",""))</f>
        <v xml:space="preserve">Additional Units for Summer Responsibilities; </v>
      </c>
    </row>
    <row r="4" spans="1:32"/>
    <row r="7" spans="1:3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3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</row>
    <row r="8" spans="1:32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</row>
    <row r="9" spans="1:32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</row>
    <row r="10" spans="1:32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</row>
    <row r="11" spans="1:32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</row>
    <row r="12" spans="1:32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</row>
    <row r="14" spans="1:32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</row>
    <row r="15" spans="1:3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</row>
    <row r="17" spans="1:32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</row>
    <row r="18" spans="1:32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</row>
    <row r="19" spans="1:3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</row>
    <row r="20" spans="1:3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</row>
    <row r="21" spans="1:3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</row>
    <row r="22" spans="1:3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</row>
    <row r="23" spans="1:32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</row>
    <row r="24" spans="1:32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</row>
    <row r="25" spans="1:32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</row>
    <row r="26" spans="1:3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</row>
    <row r="27" spans="1:32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</row>
    <row r="28" spans="1:32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</row>
    <row r="29" spans="1:3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</row>
    <row r="30" spans="1:32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</row>
    <row r="31" spans="1:32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</row>
    <row r="32" spans="1:32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</row>
    <row r="33" spans="1:3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</row>
    <row r="34" spans="1:32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</row>
    <row r="35" spans="1:32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</row>
    <row r="36" spans="1:3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</row>
    <row r="37" spans="1:32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</row>
    <row r="38" spans="1:32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</row>
    <row r="39" spans="1:3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</row>
    <row r="40" spans="1:32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</row>
    <row r="41" spans="1:32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</row>
    <row r="42" spans="1:32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</row>
    <row r="43" spans="1:32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</row>
    <row r="44" spans="1:3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</row>
    <row r="45" spans="1:3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</row>
    <row r="46" spans="1:3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</row>
    <row r="47" spans="1:3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</row>
    <row r="48" spans="1:32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</row>
    <row r="49" spans="1:32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</row>
    <row r="50" spans="1:32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</row>
    <row r="51" spans="1:32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</row>
    <row r="52" spans="1:3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</row>
    <row r="53" spans="1:3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</row>
    <row r="54" spans="1:3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</row>
    <row r="55" spans="1:3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</row>
    <row r="56" spans="1:32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</row>
    <row r="57" spans="1:3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</row>
    <row r="58" spans="1:3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</row>
    <row r="59" spans="1:3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</row>
    <row r="60" spans="1:3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</row>
    <row r="61" spans="1:32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</row>
    <row r="62" spans="1:32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</row>
    <row r="63" spans="1:32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</row>
    <row r="64" spans="1:3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</row>
    <row r="65" spans="1:3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</row>
    <row r="66" spans="1:3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</row>
    <row r="67" spans="1:32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</row>
    <row r="68" spans="1:32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</row>
    <row r="69" spans="1:32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</row>
    <row r="70" spans="1:32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</row>
    <row r="71" spans="1:3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</row>
    <row r="72" spans="1:3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</row>
    <row r="73" spans="1:3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</row>
    <row r="74" spans="1:3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</row>
    <row r="75" spans="1:3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</row>
    <row r="76" spans="1:3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</row>
    <row r="77" spans="1:3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</row>
    <row r="78" spans="1:3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</row>
    <row r="79" spans="1:3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</row>
    <row r="80" spans="1:3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</row>
    <row r="81" spans="1:3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</row>
    <row r="82" spans="1:3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</row>
    <row r="83" spans="1:3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</row>
    <row r="84" spans="1:3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</row>
    <row r="85" spans="1:3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</row>
    <row r="86" spans="1:3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</row>
    <row r="87" spans="1:3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</row>
    <row r="88" spans="1:3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</row>
    <row r="89" spans="1:3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</row>
    <row r="90" spans="1:3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</row>
    <row r="91" spans="1:3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</row>
    <row r="92" spans="1:3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</row>
    <row r="93" spans="1:3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</row>
    <row r="94" spans="1:3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</row>
    <row r="95" spans="1:3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</row>
    <row r="96" spans="1:3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</row>
    <row r="97" spans="1:3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</row>
    <row r="98" spans="1:3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</row>
    <row r="99" spans="1:3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</row>
    <row r="100" spans="1:32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</row>
    <row r="101" spans="1:32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</row>
    <row r="102" spans="1:32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</row>
    <row r="103" spans="1:32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</row>
    <row r="104" spans="1:32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</row>
    <row r="105" spans="1:32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</row>
    <row r="106" spans="1:32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</row>
    <row r="107" spans="1:32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</row>
    <row r="108" spans="1:32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</row>
    <row r="109" spans="1:32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</row>
    <row r="110" spans="1:32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</row>
    <row r="111" spans="1:32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</row>
    <row r="112" spans="1:32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</row>
    <row r="113" spans="1:32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</row>
    <row r="114" spans="1:32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</row>
    <row r="115" spans="1:32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</row>
    <row r="116" spans="1:32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</row>
    <row r="117" spans="1:32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</row>
    <row r="118" spans="1:32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</row>
    <row r="119" spans="1:32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</row>
    <row r="120" spans="1:32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</row>
    <row r="121" spans="1:32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</row>
    <row r="122" spans="1:32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</row>
    <row r="123" spans="1:32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</row>
    <row r="124" spans="1:32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</row>
    <row r="125" spans="1:32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</row>
    <row r="126" spans="1:32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</row>
    <row r="127" spans="1:32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</row>
    <row r="128" spans="1:32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</row>
    <row r="129" spans="1:32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</row>
    <row r="130" spans="1:32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</row>
    <row r="131" spans="1:32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</row>
    <row r="132" spans="1:32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</row>
    <row r="133" spans="1:32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</row>
    <row r="134" spans="1:32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</row>
    <row r="135" spans="1:32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</row>
    <row r="136" spans="1:3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</row>
    <row r="137" spans="1:32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</row>
    <row r="138" spans="1:32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</row>
    <row r="139" spans="1:3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</row>
    <row r="140" spans="1:3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</row>
    <row r="141" spans="1:3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</row>
    <row r="142" spans="1:3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</row>
    <row r="143" spans="1:3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</row>
    <row r="144" spans="1:3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</row>
    <row r="145" spans="1:3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</row>
    <row r="146" spans="1:3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</row>
    <row r="147" spans="1:3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</row>
    <row r="148" spans="1:3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</row>
    <row r="149" spans="1:3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</row>
    <row r="150" spans="1:3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</row>
    <row r="151" spans="1:32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</row>
    <row r="152" spans="1:32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</row>
    <row r="153" spans="1:32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</row>
    <row r="154" spans="1:32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</row>
    <row r="155" spans="1:32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</row>
    <row r="156" spans="1:32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</row>
    <row r="157" spans="1:32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</row>
    <row r="158" spans="1:32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</row>
    <row r="159" spans="1:32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</row>
    <row r="160" spans="1:32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</row>
    <row r="161" spans="1:32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</row>
    <row r="162" spans="1:32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</row>
    <row r="163" spans="1:32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</row>
    <row r="164" spans="1:32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</row>
    <row r="165" spans="1:32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</row>
    <row r="166" spans="1:32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</row>
    <row r="167" spans="1:32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</row>
    <row r="168" spans="1:32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</row>
    <row r="169" spans="1:32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</row>
    <row r="170" spans="1:32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</row>
    <row r="171" spans="1:32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</row>
    <row r="172" spans="1:32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</row>
    <row r="173" spans="1:32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</row>
    <row r="174" spans="1:32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</row>
    <row r="175" spans="1:32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</row>
    <row r="176" spans="1:32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</row>
    <row r="177" spans="1:32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</row>
    <row r="178" spans="1:32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</row>
    <row r="179" spans="1:32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</row>
    <row r="180" spans="1:32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</row>
    <row r="181" spans="1:32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</row>
    <row r="182" spans="1:32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</row>
    <row r="183" spans="1:32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</row>
    <row r="184" spans="1:32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</row>
    <row r="185" spans="1:32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</row>
    <row r="186" spans="1:32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</row>
    <row r="187" spans="1:32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</row>
    <row r="188" spans="1:32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</row>
    <row r="189" spans="1:32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</row>
    <row r="190" spans="1:32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</row>
    <row r="191" spans="1:32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</row>
    <row r="192" spans="1:32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</row>
    <row r="193" spans="1:32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</row>
    <row r="194" spans="1:32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</row>
    <row r="195" spans="1:32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</row>
    <row r="196" spans="1:32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</row>
    <row r="197" spans="1:32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</row>
    <row r="198" spans="1:32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</row>
    <row r="199" spans="1:32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</row>
    <row r="200" spans="1:32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</row>
    <row r="201" spans="1:32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</row>
    <row r="202" spans="1:32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</row>
    <row r="203" spans="1:32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</row>
    <row r="204" spans="1:32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</row>
    <row r="205" spans="1:32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</row>
    <row r="206" spans="1:32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</row>
    <row r="207" spans="1:32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</row>
    <row r="208" spans="1:32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</row>
    <row r="209" spans="1:32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</row>
    <row r="210" spans="1:32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</row>
    <row r="211" spans="1:32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</row>
    <row r="212" spans="1:32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</row>
    <row r="213" spans="1:32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</row>
    <row r="214" spans="1:32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</row>
    <row r="215" spans="1:32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</row>
    <row r="216" spans="1:32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</row>
    <row r="217" spans="1:32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</row>
    <row r="218" spans="1:32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</row>
    <row r="219" spans="1:32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</row>
    <row r="220" spans="1:32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</row>
    <row r="221" spans="1:32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</row>
    <row r="222" spans="1:32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</row>
    <row r="223" spans="1:32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</row>
    <row r="224" spans="1:32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</row>
    <row r="225" spans="1:32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</row>
    <row r="226" spans="1:32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</row>
    <row r="227" spans="1:32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</row>
    <row r="228" spans="1:32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</row>
    <row r="229" spans="1:32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</row>
    <row r="230" spans="1:32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</row>
    <row r="231" spans="1:32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</row>
    <row r="232" spans="1:32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</row>
    <row r="233" spans="1:32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</row>
    <row r="234" spans="1:32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</row>
    <row r="235" spans="1:32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</row>
    <row r="236" spans="1:32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</row>
    <row r="237" spans="1:32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</row>
    <row r="238" spans="1:32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</row>
    <row r="239" spans="1:32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</row>
    <row r="240" spans="1:32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</row>
    <row r="241" spans="1:32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</row>
    <row r="242" spans="1:32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</row>
    <row r="243" spans="1:32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</row>
    <row r="244" spans="1:32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</row>
    <row r="245" spans="1:3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</row>
    <row r="246" spans="1:3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</row>
    <row r="247" spans="1:3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</row>
    <row r="248" spans="1:3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</row>
    <row r="249" spans="1:3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</row>
    <row r="250" spans="1:3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</row>
    <row r="251" spans="1:3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</row>
    <row r="252" spans="1:3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</row>
    <row r="253" spans="1:3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</row>
    <row r="254" spans="1:3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</row>
    <row r="255" spans="1:3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</row>
    <row r="256" spans="1:3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</row>
    <row r="257" spans="1:3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</row>
    <row r="258" spans="1:3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</row>
    <row r="259" spans="1:3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</row>
    <row r="260" spans="1:3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</row>
    <row r="261" spans="1:3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</row>
    <row r="262" spans="1:3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</row>
    <row r="263" spans="1:3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</row>
    <row r="264" spans="1:3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</row>
    <row r="265" spans="1:3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</row>
    <row r="266" spans="1:3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</row>
    <row r="267" spans="1:3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</row>
    <row r="268" spans="1:3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</row>
    <row r="269" spans="1:3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</row>
    <row r="270" spans="1:3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</row>
    <row r="271" spans="1:3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</row>
    <row r="272" spans="1:3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</row>
    <row r="273" spans="1:3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</row>
    <row r="274" spans="1:3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</row>
    <row r="275" spans="1:3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</row>
    <row r="276" spans="1:3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</row>
    <row r="277" spans="1:3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</row>
    <row r="278" spans="1:3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</row>
    <row r="279" spans="1:3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</row>
    <row r="280" spans="1:3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</row>
    <row r="281" spans="1:3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</row>
    <row r="282" spans="1:3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</row>
    <row r="283" spans="1:3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</row>
    <row r="284" spans="1:3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</row>
    <row r="285" spans="1:3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</row>
    <row r="286" spans="1:3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</row>
    <row r="287" spans="1:3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</row>
    <row r="288" spans="1:3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</row>
    <row r="289" spans="1:3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</row>
    <row r="290" spans="1:3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</row>
    <row r="291" spans="1:3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</row>
    <row r="292" spans="1:3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</row>
    <row r="293" spans="1:3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</row>
    <row r="294" spans="1:3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</row>
    <row r="295" spans="1:3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</row>
    <row r="296" spans="1:3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</row>
    <row r="297" spans="1:3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</row>
    <row r="298" spans="1:3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</row>
    <row r="299" spans="1:3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</row>
    <row r="300" spans="1:3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</row>
    <row r="301" spans="1:3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</row>
    <row r="302" spans="1:3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</row>
    <row r="303" spans="1:3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</row>
    <row r="304" spans="1:3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</row>
    <row r="305" spans="1:3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</row>
    <row r="306" spans="1:3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</row>
    <row r="307" spans="1:3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</row>
    <row r="308" spans="1:3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</row>
    <row r="309" spans="1:3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</row>
    <row r="310" spans="1:3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</row>
    <row r="311" spans="1:3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</row>
    <row r="312" spans="1:3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</row>
    <row r="313" spans="1:3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</row>
    <row r="314" spans="1:3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</row>
    <row r="315" spans="1:3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</row>
    <row r="316" spans="1:3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</row>
    <row r="317" spans="1:3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</row>
    <row r="318" spans="1:3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</row>
    <row r="319" spans="1:3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</row>
    <row r="320" spans="1:3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</row>
    <row r="321" spans="1:3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</row>
    <row r="322" spans="1:3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</row>
    <row r="323" spans="1:3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</row>
    <row r="324" spans="1:3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</row>
    <row r="325" spans="1:3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</row>
    <row r="326" spans="1:3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</row>
    <row r="327" spans="1:3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</row>
    <row r="328" spans="1:3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</row>
    <row r="329" spans="1:3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</row>
    <row r="330" spans="1:3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</row>
    <row r="331" spans="1:3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</row>
    <row r="332" spans="1:3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</row>
    <row r="333" spans="1:3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</row>
    <row r="334" spans="1:3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</row>
    <row r="335" spans="1:3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</row>
    <row r="336" spans="1:3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</row>
    <row r="337" spans="1:3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</row>
    <row r="338" spans="1:3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</row>
    <row r="339" spans="1:3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</row>
    <row r="340" spans="1:3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</row>
    <row r="341" spans="1:3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</row>
    <row r="342" spans="1:3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</row>
    <row r="343" spans="1:3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</row>
    <row r="344" spans="1:3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</row>
    <row r="345" spans="1:3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</row>
    <row r="346" spans="1:3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</row>
    <row r="347" spans="1:3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</row>
    <row r="348" spans="1:3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</row>
    <row r="349" spans="1:3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</row>
    <row r="350" spans="1:3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</row>
    <row r="351" spans="1:3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</row>
    <row r="352" spans="1:3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</row>
    <row r="353" spans="1:3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</row>
    <row r="354" spans="1:3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</row>
    <row r="355" spans="1:3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</row>
    <row r="356" spans="1:3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</row>
    <row r="357" spans="1:3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</row>
    <row r="358" spans="1:3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</row>
    <row r="359" spans="1:3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</row>
    <row r="360" spans="1:3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</row>
    <row r="361" spans="1:3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</row>
    <row r="362" spans="1:3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</row>
    <row r="363" spans="1:3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</row>
    <row r="364" spans="1:32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</row>
    <row r="365" spans="1:32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</row>
    <row r="366" spans="1:32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</row>
    <row r="367" spans="1:32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</row>
    <row r="368" spans="1:32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</row>
    <row r="369" spans="1:32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</row>
    <row r="370" spans="1:32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</row>
    <row r="371" spans="1:32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</row>
    <row r="372" spans="1:32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</row>
    <row r="373" spans="1:32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</row>
    <row r="374" spans="1:32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</row>
    <row r="375" spans="1:32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</row>
    <row r="376" spans="1:32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</row>
    <row r="377" spans="1:32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</row>
    <row r="378" spans="1:32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</row>
    <row r="379" spans="1:32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</row>
    <row r="380" spans="1:32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</row>
    <row r="381" spans="1:32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</row>
    <row r="382" spans="1:32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</row>
    <row r="383" spans="1:32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</row>
    <row r="384" spans="1:32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</row>
    <row r="385" spans="1:32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</row>
    <row r="386" spans="1:32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</row>
    <row r="387" spans="1:32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</row>
    <row r="388" spans="1:32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</row>
    <row r="389" spans="1:32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</row>
    <row r="390" spans="1:32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</row>
    <row r="391" spans="1:32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</row>
    <row r="392" spans="1:32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</row>
    <row r="393" spans="1:32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</row>
    <row r="394" spans="1:32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</row>
    <row r="395" spans="1:32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</row>
    <row r="396" spans="1:32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</row>
    <row r="397" spans="1:32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</row>
    <row r="398" spans="1:32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</row>
    <row r="399" spans="1:32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</row>
    <row r="400" spans="1:32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</row>
    <row r="401" spans="1:32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</row>
    <row r="402" spans="1:32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</row>
    <row r="403" spans="1:32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</row>
    <row r="404" spans="1:32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</row>
    <row r="405" spans="1:32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</row>
    <row r="406" spans="1:32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</row>
    <row r="407" spans="1:32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</row>
    <row r="408" spans="1:32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</row>
    <row r="409" spans="1:32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</row>
    <row r="410" spans="1:32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</row>
    <row r="411" spans="1:32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</row>
    <row r="412" spans="1:32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</row>
    <row r="413" spans="1:32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</row>
    <row r="414" spans="1:32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</row>
    <row r="415" spans="1:32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</row>
    <row r="416" spans="1:32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</row>
    <row r="417" spans="1:32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</row>
    <row r="418" spans="1:32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</row>
    <row r="419" spans="1:32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</row>
    <row r="420" spans="1:32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</row>
    <row r="421" spans="1:32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</row>
    <row r="422" spans="1:32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</row>
    <row r="423" spans="1:32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</row>
    <row r="424" spans="1:32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</row>
    <row r="425" spans="1:32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</row>
    <row r="426" spans="1:32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</row>
    <row r="427" spans="1:32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</row>
    <row r="428" spans="1:32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</row>
    <row r="429" spans="1:32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</row>
    <row r="430" spans="1:32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</row>
    <row r="431" spans="1:32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</row>
    <row r="432" spans="1:32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</row>
    <row r="433" spans="1:32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</row>
    <row r="434" spans="1:32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</row>
    <row r="435" spans="1:32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</row>
    <row r="436" spans="1:32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</row>
    <row r="437" spans="1:32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</row>
    <row r="438" spans="1:32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</row>
    <row r="439" spans="1:32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</row>
    <row r="440" spans="1:32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</row>
    <row r="441" spans="1:32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</row>
    <row r="442" spans="1:32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</row>
    <row r="443" spans="1:32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</row>
    <row r="444" spans="1:32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</row>
    <row r="445" spans="1:32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</row>
    <row r="446" spans="1:32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</row>
    <row r="447" spans="1:32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</row>
    <row r="448" spans="1:32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</row>
    <row r="449" spans="1:32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</row>
    <row r="450" spans="1:32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</row>
    <row r="451" spans="1:32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</row>
    <row r="452" spans="1:32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</row>
    <row r="453" spans="1:32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</row>
    <row r="454" spans="1:32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</row>
    <row r="455" spans="1:32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</row>
    <row r="456" spans="1:32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</row>
    <row r="457" spans="1:32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</row>
    <row r="458" spans="1:32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</row>
    <row r="459" spans="1:32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</row>
    <row r="460" spans="1:32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</row>
    <row r="461" spans="1:32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</row>
    <row r="462" spans="1:32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</row>
    <row r="463" spans="1:32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</row>
    <row r="464" spans="1:32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</row>
    <row r="465" spans="1:32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</row>
    <row r="466" spans="1:32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</row>
    <row r="467" spans="1:32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</row>
    <row r="468" spans="1:32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</row>
    <row r="469" spans="1:32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</row>
    <row r="470" spans="1:32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</row>
    <row r="471" spans="1:32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</row>
    <row r="472" spans="1:32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</row>
    <row r="473" spans="1:32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</row>
    <row r="474" spans="1:32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</row>
    <row r="475" spans="1:32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</row>
    <row r="476" spans="1:32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</row>
    <row r="477" spans="1:32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</row>
    <row r="478" spans="1:32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</row>
    <row r="479" spans="1:32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</row>
    <row r="480" spans="1:32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</row>
    <row r="481" spans="1:32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</row>
    <row r="482" spans="1:32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</row>
    <row r="483" spans="1:32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</row>
    <row r="484" spans="1:32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</row>
    <row r="485" spans="1:32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</row>
    <row r="486" spans="1:32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</row>
    <row r="487" spans="1:32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</row>
    <row r="488" spans="1:32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</row>
    <row r="489" spans="1:32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</row>
    <row r="490" spans="1:32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</row>
    <row r="491" spans="1:32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</row>
    <row r="492" spans="1:32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</row>
    <row r="493" spans="1:32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</row>
    <row r="494" spans="1:32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</row>
    <row r="495" spans="1:32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</row>
    <row r="496" spans="1:32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</row>
    <row r="497" spans="1:32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</row>
    <row r="498" spans="1:32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</row>
    <row r="499" spans="1:32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</row>
    <row r="500" spans="1:32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</row>
    <row r="501" spans="1:32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</row>
    <row r="502" spans="1:32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</row>
    <row r="503" spans="1:32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</row>
    <row r="504" spans="1:32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0"/>
  <sheetViews>
    <sheetView topLeftCell="A4" workbookViewId="0">
      <selection activeCell="P1" sqref="P1"/>
    </sheetView>
  </sheetViews>
  <sheetFormatPr defaultColWidth="8.88671875" defaultRowHeight="14.4"/>
  <cols>
    <col min="1" max="1" width="11.5546875" style="7" customWidth="1"/>
    <col min="2" max="5" width="10.5546875" style="7" customWidth="1"/>
    <col min="6" max="6" width="2.109375" style="7" customWidth="1"/>
    <col min="7" max="7" width="11.5546875" style="7" customWidth="1"/>
    <col min="8" max="11" width="8.88671875" style="7"/>
    <col min="12" max="12" width="2.109375" style="7" customWidth="1"/>
    <col min="13" max="17" width="10.5546875" style="7" customWidth="1"/>
    <col min="18" max="18" width="2.109375" style="7" customWidth="1"/>
    <col min="19" max="19" width="10.5546875" style="7" customWidth="1"/>
    <col min="20" max="20" width="8.88671875" style="7"/>
    <col min="21" max="21" width="2.109375" style="7" customWidth="1"/>
    <col min="22" max="16384" width="8.88671875" style="7"/>
  </cols>
  <sheetData>
    <row r="1" spans="1:27" ht="15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/>
      <c r="G1" s="4" t="s">
        <v>5</v>
      </c>
      <c r="H1" s="2" t="s">
        <v>1</v>
      </c>
      <c r="I1" s="2" t="s">
        <v>2</v>
      </c>
      <c r="J1" s="2" t="s">
        <v>3</v>
      </c>
      <c r="K1" s="2" t="s">
        <v>4</v>
      </c>
      <c r="L1" s="3"/>
      <c r="M1" s="4" t="s">
        <v>6</v>
      </c>
      <c r="N1" s="2"/>
      <c r="O1" s="5" t="s">
        <v>7</v>
      </c>
      <c r="P1" s="6">
        <v>49467</v>
      </c>
      <c r="Q1" s="2"/>
      <c r="R1" s="4"/>
      <c r="S1" s="4" t="s">
        <v>8</v>
      </c>
      <c r="T1" s="2" t="s">
        <v>9</v>
      </c>
      <c r="U1" s="4"/>
      <c r="AA1" s="7" t="str">
        <f ca="1">IF(INFO("SYSTEM")="mac",CHAR(13),CHAR(10))</f>
        <v xml:space="preserve">
</v>
      </c>
    </row>
    <row r="2" spans="1:27" ht="15" customHeight="1">
      <c r="A2" s="2" t="s">
        <v>10</v>
      </c>
      <c r="B2" s="8">
        <v>1</v>
      </c>
      <c r="C2" s="8">
        <v>0</v>
      </c>
      <c r="D2" s="8">
        <v>0</v>
      </c>
      <c r="E2" s="8">
        <v>0</v>
      </c>
      <c r="F2" s="9"/>
      <c r="G2" s="2" t="s">
        <v>10</v>
      </c>
      <c r="H2" s="7">
        <v>1</v>
      </c>
      <c r="I2" s="7">
        <v>-1</v>
      </c>
      <c r="J2" s="7">
        <v>-1</v>
      </c>
      <c r="K2" s="7">
        <v>-1</v>
      </c>
      <c r="L2" s="3"/>
      <c r="M2" s="2"/>
      <c r="N2" s="10" t="s">
        <v>1</v>
      </c>
      <c r="O2" s="10" t="s">
        <v>2</v>
      </c>
      <c r="P2" s="2" t="s">
        <v>3</v>
      </c>
      <c r="Q2" s="2" t="s">
        <v>4</v>
      </c>
      <c r="R2" s="4"/>
      <c r="S2" s="2">
        <v>1</v>
      </c>
      <c r="T2" s="7" t="s">
        <v>1</v>
      </c>
      <c r="U2" s="4"/>
    </row>
    <row r="3" spans="1:27" ht="15" customHeight="1">
      <c r="A3" s="2" t="s">
        <v>11</v>
      </c>
      <c r="B3" s="8">
        <v>1.0349999999999999</v>
      </c>
      <c r="C3" s="8">
        <v>0</v>
      </c>
      <c r="D3" s="8">
        <v>0</v>
      </c>
      <c r="E3" s="8">
        <v>0</v>
      </c>
      <c r="F3" s="9"/>
      <c r="G3" s="2" t="s">
        <v>11</v>
      </c>
      <c r="H3" s="7">
        <v>1</v>
      </c>
      <c r="I3" s="7">
        <v>-1</v>
      </c>
      <c r="J3" s="7">
        <v>-1</v>
      </c>
      <c r="K3" s="7">
        <v>-1</v>
      </c>
      <c r="L3" s="3"/>
      <c r="M3" s="2" t="s">
        <v>10</v>
      </c>
      <c r="N3" s="11">
        <f>Base_Salary*InstructorStep1</f>
        <v>49467</v>
      </c>
      <c r="O3" s="12"/>
      <c r="P3" s="12"/>
      <c r="Q3" s="12"/>
      <c r="R3" s="4"/>
      <c r="S3" s="2">
        <v>2</v>
      </c>
      <c r="T3" s="7" t="s">
        <v>2</v>
      </c>
      <c r="U3" s="4"/>
    </row>
    <row r="4" spans="1:27" ht="15" customHeight="1">
      <c r="A4" s="2" t="s">
        <v>12</v>
      </c>
      <c r="B4" s="8">
        <v>1.07</v>
      </c>
      <c r="C4" s="8">
        <v>0</v>
      </c>
      <c r="D4" s="8">
        <v>0</v>
      </c>
      <c r="E4" s="8">
        <v>0</v>
      </c>
      <c r="F4" s="9"/>
      <c r="G4" s="2" t="s">
        <v>12</v>
      </c>
      <c r="H4" s="7">
        <v>1</v>
      </c>
      <c r="I4" s="7">
        <v>-1</v>
      </c>
      <c r="J4" s="7">
        <v>-1</v>
      </c>
      <c r="K4" s="7">
        <v>-1</v>
      </c>
      <c r="L4" s="3"/>
      <c r="M4" s="2" t="s">
        <v>11</v>
      </c>
      <c r="N4" s="11">
        <f>Base_Salary*InstructorStep2</f>
        <v>51198.344999999994</v>
      </c>
      <c r="O4" s="12"/>
      <c r="P4" s="12"/>
      <c r="Q4" s="12"/>
      <c r="R4" s="4"/>
      <c r="S4" s="2">
        <v>3</v>
      </c>
      <c r="T4" s="7" t="s">
        <v>3</v>
      </c>
      <c r="U4" s="4"/>
    </row>
    <row r="5" spans="1:27" ht="15" customHeight="1">
      <c r="A5" s="2" t="s">
        <v>13</v>
      </c>
      <c r="B5" s="8">
        <v>1.105</v>
      </c>
      <c r="C5" s="8">
        <v>1.125</v>
      </c>
      <c r="D5" s="8">
        <v>0</v>
      </c>
      <c r="E5" s="8">
        <v>0</v>
      </c>
      <c r="F5" s="9"/>
      <c r="G5" s="2" t="s">
        <v>13</v>
      </c>
      <c r="H5" s="7">
        <v>1</v>
      </c>
      <c r="I5" s="7">
        <v>1</v>
      </c>
      <c r="J5" s="7">
        <v>-1</v>
      </c>
      <c r="K5" s="7">
        <v>-1</v>
      </c>
      <c r="L5" s="3"/>
      <c r="M5" s="2" t="s">
        <v>12</v>
      </c>
      <c r="N5" s="11">
        <f>Base_Salary*InstructorStep3</f>
        <v>52929.69</v>
      </c>
      <c r="O5" s="12"/>
      <c r="P5" s="12"/>
      <c r="Q5" s="12"/>
      <c r="R5" s="4"/>
      <c r="S5" s="2">
        <v>4</v>
      </c>
      <c r="T5" s="7" t="s">
        <v>4</v>
      </c>
      <c r="U5" s="4"/>
    </row>
    <row r="6" spans="1:27" ht="15" customHeight="1">
      <c r="A6" s="2" t="s">
        <v>14</v>
      </c>
      <c r="B6" s="8">
        <v>1.135</v>
      </c>
      <c r="C6" s="8">
        <v>1.165</v>
      </c>
      <c r="D6" s="8">
        <v>0</v>
      </c>
      <c r="E6" s="8">
        <v>0</v>
      </c>
      <c r="F6" s="9"/>
      <c r="G6" s="2" t="s">
        <v>14</v>
      </c>
      <c r="H6" s="7">
        <v>1</v>
      </c>
      <c r="I6" s="7">
        <v>1</v>
      </c>
      <c r="J6" s="7">
        <v>-1</v>
      </c>
      <c r="K6" s="7">
        <v>-1</v>
      </c>
      <c r="L6" s="3"/>
      <c r="M6" s="2" t="s">
        <v>13</v>
      </c>
      <c r="N6" s="11">
        <f>Base_Salary*InstructorStep4</f>
        <v>54661.034999999996</v>
      </c>
      <c r="O6" s="11">
        <f>Base_Salary*AssistantStep4</f>
        <v>55650.375</v>
      </c>
      <c r="P6" s="12"/>
      <c r="Q6" s="12"/>
      <c r="R6" s="4"/>
      <c r="S6" s="4"/>
      <c r="T6" s="4"/>
      <c r="U6" s="4"/>
    </row>
    <row r="7" spans="1:27" ht="15" customHeight="1">
      <c r="A7" s="2" t="s">
        <v>15</v>
      </c>
      <c r="B7" s="8">
        <v>1.165</v>
      </c>
      <c r="C7" s="8">
        <v>1.2050000000000001</v>
      </c>
      <c r="D7" s="8">
        <v>0</v>
      </c>
      <c r="E7" s="8">
        <v>0</v>
      </c>
      <c r="F7" s="9"/>
      <c r="G7" s="2" t="s">
        <v>15</v>
      </c>
      <c r="H7" s="7">
        <v>1</v>
      </c>
      <c r="I7" s="7">
        <v>1</v>
      </c>
      <c r="J7" s="7">
        <v>-1</v>
      </c>
      <c r="K7" s="7">
        <v>-1</v>
      </c>
      <c r="L7" s="3"/>
      <c r="M7" s="2" t="s">
        <v>14</v>
      </c>
      <c r="N7" s="11">
        <f>Base_Salary*InstructorStep5</f>
        <v>56145.044999999998</v>
      </c>
      <c r="O7" s="11">
        <f>Base_Salary*AssistantStep5</f>
        <v>57629.055</v>
      </c>
      <c r="P7" s="12"/>
      <c r="Q7" s="12"/>
      <c r="R7" s="4"/>
      <c r="W7" s="13"/>
    </row>
    <row r="8" spans="1:27" ht="15" customHeight="1">
      <c r="A8" s="2" t="s">
        <v>16</v>
      </c>
      <c r="B8" s="8">
        <v>1.1950000000000001</v>
      </c>
      <c r="C8" s="8">
        <v>1.2450000000000001</v>
      </c>
      <c r="D8" s="8">
        <v>0</v>
      </c>
      <c r="E8" s="8">
        <v>0</v>
      </c>
      <c r="F8" s="9"/>
      <c r="G8" s="2" t="s">
        <v>16</v>
      </c>
      <c r="H8" s="7">
        <v>1</v>
      </c>
      <c r="I8" s="7">
        <v>1</v>
      </c>
      <c r="J8" s="7">
        <v>-1</v>
      </c>
      <c r="K8" s="7">
        <v>-1</v>
      </c>
      <c r="L8" s="3"/>
      <c r="M8" s="2" t="s">
        <v>15</v>
      </c>
      <c r="N8" s="11">
        <f>Base_Salary*InstructorStep6</f>
        <v>57629.055</v>
      </c>
      <c r="O8" s="11">
        <f>Base_Salary*AssistantStep6</f>
        <v>59607.735000000001</v>
      </c>
      <c r="P8" s="12"/>
      <c r="Q8" s="12"/>
      <c r="R8" s="4"/>
    </row>
    <row r="9" spans="1:27" ht="15" customHeight="1">
      <c r="A9" s="2" t="s">
        <v>17</v>
      </c>
      <c r="B9" s="8">
        <v>1.22</v>
      </c>
      <c r="C9" s="8">
        <v>1.2849999999999999</v>
      </c>
      <c r="D9" s="8">
        <v>0</v>
      </c>
      <c r="E9" s="8">
        <v>0</v>
      </c>
      <c r="F9" s="9"/>
      <c r="G9" s="2" t="s">
        <v>17</v>
      </c>
      <c r="H9" s="7">
        <v>0</v>
      </c>
      <c r="I9" s="7">
        <v>1</v>
      </c>
      <c r="J9" s="7">
        <v>-1</v>
      </c>
      <c r="K9" s="7">
        <v>-1</v>
      </c>
      <c r="L9" s="3"/>
      <c r="M9" s="2" t="s">
        <v>16</v>
      </c>
      <c r="N9" s="11">
        <f>Base_Salary*InstructorStep7</f>
        <v>59113.065000000002</v>
      </c>
      <c r="O9" s="11">
        <f>Base_Salary*AssistantStep7</f>
        <v>61586.415000000008</v>
      </c>
      <c r="P9" s="12"/>
      <c r="Q9" s="12"/>
      <c r="R9" s="4"/>
    </row>
    <row r="10" spans="1:27" ht="15" customHeight="1">
      <c r="A10" s="2" t="s">
        <v>18</v>
      </c>
      <c r="B10" s="8">
        <v>0</v>
      </c>
      <c r="C10" s="8">
        <v>1.325</v>
      </c>
      <c r="D10" s="8">
        <v>1.35</v>
      </c>
      <c r="E10" s="8">
        <v>0</v>
      </c>
      <c r="F10" s="9"/>
      <c r="G10" s="2" t="s">
        <v>18</v>
      </c>
      <c r="H10" s="7">
        <v>-1</v>
      </c>
      <c r="I10" s="7">
        <v>1</v>
      </c>
      <c r="J10" s="7">
        <v>1</v>
      </c>
      <c r="K10" s="7">
        <v>-1</v>
      </c>
      <c r="L10" s="3"/>
      <c r="M10" s="2" t="s">
        <v>17</v>
      </c>
      <c r="N10" s="11">
        <f>Base_Salary*InstructorStep8</f>
        <v>60349.74</v>
      </c>
      <c r="O10" s="11">
        <f>Base_Salary*AssistantStep8</f>
        <v>63565.094999999994</v>
      </c>
      <c r="P10" s="12"/>
      <c r="Q10" s="12"/>
      <c r="R10" s="4"/>
    </row>
    <row r="11" spans="1:27" ht="15" customHeight="1">
      <c r="A11" s="2" t="s">
        <v>19</v>
      </c>
      <c r="B11" s="8">
        <v>0</v>
      </c>
      <c r="C11" s="8">
        <v>1.36</v>
      </c>
      <c r="D11" s="8">
        <v>1.395</v>
      </c>
      <c r="E11" s="8">
        <v>0</v>
      </c>
      <c r="F11" s="9"/>
      <c r="G11" s="2" t="s">
        <v>19</v>
      </c>
      <c r="H11" s="7">
        <v>-1</v>
      </c>
      <c r="I11" s="7">
        <v>1</v>
      </c>
      <c r="J11" s="7">
        <v>1</v>
      </c>
      <c r="K11" s="7">
        <v>-1</v>
      </c>
      <c r="L11" s="3"/>
      <c r="M11" s="2" t="s">
        <v>18</v>
      </c>
      <c r="N11" s="12"/>
      <c r="O11" s="11">
        <f>Base_Salary*AssistantStep9</f>
        <v>65543.774999999994</v>
      </c>
      <c r="P11" s="11">
        <f>Base_Salary*AssociateStep9</f>
        <v>66780.450000000012</v>
      </c>
      <c r="Q11" s="12"/>
      <c r="R11" s="4"/>
    </row>
    <row r="12" spans="1:27" ht="15" customHeight="1">
      <c r="A12" s="2" t="s">
        <v>20</v>
      </c>
      <c r="B12" s="8">
        <v>0</v>
      </c>
      <c r="C12" s="8">
        <v>1.395</v>
      </c>
      <c r="D12" s="8">
        <v>1.44</v>
      </c>
      <c r="E12" s="8">
        <v>0</v>
      </c>
      <c r="F12" s="9"/>
      <c r="G12" s="2" t="s">
        <v>20</v>
      </c>
      <c r="H12" s="7">
        <v>-1</v>
      </c>
      <c r="I12" s="7">
        <v>1</v>
      </c>
      <c r="J12" s="7">
        <v>1</v>
      </c>
      <c r="K12" s="7">
        <v>-1</v>
      </c>
      <c r="L12" s="3"/>
      <c r="M12" s="2" t="s">
        <v>19</v>
      </c>
      <c r="N12" s="12"/>
      <c r="O12" s="11">
        <f>Base_Salary*AssistantStep10</f>
        <v>67275.12000000001</v>
      </c>
      <c r="P12" s="11">
        <f>Base_Salary*AssociateStep10</f>
        <v>69006.464999999997</v>
      </c>
      <c r="Q12" s="12"/>
      <c r="R12" s="4"/>
    </row>
    <row r="13" spans="1:27" ht="15" customHeight="1">
      <c r="A13" s="2" t="s">
        <v>21</v>
      </c>
      <c r="B13" s="8">
        <v>0</v>
      </c>
      <c r="C13" s="8">
        <v>1.43</v>
      </c>
      <c r="D13" s="8">
        <v>1.4850000000000001</v>
      </c>
      <c r="E13" s="8">
        <v>0</v>
      </c>
      <c r="F13" s="9"/>
      <c r="G13" s="2" t="s">
        <v>21</v>
      </c>
      <c r="H13" s="7">
        <v>-1</v>
      </c>
      <c r="I13" s="7">
        <v>1</v>
      </c>
      <c r="J13" s="7">
        <v>1</v>
      </c>
      <c r="K13" s="7">
        <v>-1</v>
      </c>
      <c r="L13" s="3"/>
      <c r="M13" s="2" t="s">
        <v>20</v>
      </c>
      <c r="N13" s="12"/>
      <c r="O13" s="11">
        <f>Base_Salary*AssistantStep11</f>
        <v>69006.464999999997</v>
      </c>
      <c r="P13" s="11">
        <f>Base_Salary*AssociateStep11</f>
        <v>71232.479999999996</v>
      </c>
      <c r="Q13" s="12"/>
      <c r="R13" s="4"/>
    </row>
    <row r="14" spans="1:27" ht="15" customHeight="1">
      <c r="A14" s="2" t="s">
        <v>22</v>
      </c>
      <c r="B14" s="8">
        <v>0</v>
      </c>
      <c r="C14" s="8">
        <v>1.4650000000000001</v>
      </c>
      <c r="D14" s="8">
        <v>1.53</v>
      </c>
      <c r="E14" s="8">
        <v>0</v>
      </c>
      <c r="F14" s="9"/>
      <c r="G14" s="2" t="s">
        <v>22</v>
      </c>
      <c r="H14" s="7">
        <v>-1</v>
      </c>
      <c r="I14" s="7">
        <v>1</v>
      </c>
      <c r="J14" s="7">
        <v>1</v>
      </c>
      <c r="K14" s="7">
        <v>-1</v>
      </c>
      <c r="L14" s="3"/>
      <c r="M14" s="2" t="s">
        <v>21</v>
      </c>
      <c r="N14" s="12"/>
      <c r="O14" s="11">
        <f>Base_Salary*AssistantStep12</f>
        <v>70737.81</v>
      </c>
      <c r="P14" s="11">
        <f>Base_Salary*AssociateStep12</f>
        <v>73458.49500000001</v>
      </c>
      <c r="Q14" s="12"/>
      <c r="R14" s="4"/>
    </row>
    <row r="15" spans="1:27" ht="15" customHeight="1">
      <c r="A15" s="2" t="s">
        <v>23</v>
      </c>
      <c r="B15" s="8">
        <v>0</v>
      </c>
      <c r="C15" s="8">
        <v>1.4950000000000001</v>
      </c>
      <c r="D15" s="8">
        <v>1.575</v>
      </c>
      <c r="E15" s="8">
        <v>0</v>
      </c>
      <c r="F15" s="9"/>
      <c r="G15" s="2" t="s">
        <v>23</v>
      </c>
      <c r="H15" s="7">
        <v>-1</v>
      </c>
      <c r="I15" s="7">
        <v>0</v>
      </c>
      <c r="J15" s="7">
        <v>1</v>
      </c>
      <c r="K15" s="7">
        <v>-1</v>
      </c>
      <c r="L15" s="3"/>
      <c r="M15" s="2" t="s">
        <v>22</v>
      </c>
      <c r="N15" s="12"/>
      <c r="O15" s="11">
        <f>Base_Salary*AssistantStep13</f>
        <v>72469.154999999999</v>
      </c>
      <c r="P15" s="11">
        <f>Base_Salary*AssociateStep13</f>
        <v>75684.509999999995</v>
      </c>
      <c r="Q15" s="12"/>
      <c r="R15" s="4"/>
    </row>
    <row r="16" spans="1:27" ht="15" customHeight="1">
      <c r="A16" s="2" t="s">
        <v>24</v>
      </c>
      <c r="B16" s="8">
        <v>0</v>
      </c>
      <c r="C16" s="8">
        <v>0</v>
      </c>
      <c r="D16" s="8">
        <v>1.62</v>
      </c>
      <c r="E16" s="8">
        <v>1.65</v>
      </c>
      <c r="F16" s="9"/>
      <c r="G16" s="2" t="s">
        <v>24</v>
      </c>
      <c r="H16" s="7">
        <v>-1</v>
      </c>
      <c r="I16" s="7">
        <v>-1</v>
      </c>
      <c r="J16" s="7">
        <v>1</v>
      </c>
      <c r="K16" s="7">
        <v>1</v>
      </c>
      <c r="L16" s="3"/>
      <c r="M16" s="2" t="s">
        <v>23</v>
      </c>
      <c r="N16" s="12"/>
      <c r="O16" s="11">
        <f>Base_Salary*AssistantStep14</f>
        <v>73953.165000000008</v>
      </c>
      <c r="P16" s="11">
        <f>Base_Salary*AssociateStep14</f>
        <v>77910.524999999994</v>
      </c>
      <c r="Q16" s="12"/>
      <c r="R16" s="4"/>
    </row>
    <row r="17" spans="1:18" ht="15" customHeight="1">
      <c r="A17" s="2" t="s">
        <v>25</v>
      </c>
      <c r="B17" s="8">
        <v>0</v>
      </c>
      <c r="C17" s="8">
        <v>0</v>
      </c>
      <c r="D17" s="8">
        <v>1.665</v>
      </c>
      <c r="E17" s="8">
        <v>1.7</v>
      </c>
      <c r="F17" s="9"/>
      <c r="G17" s="2" t="s">
        <v>25</v>
      </c>
      <c r="H17" s="7">
        <v>-1</v>
      </c>
      <c r="I17" s="7">
        <v>-1</v>
      </c>
      <c r="J17" s="7">
        <v>1</v>
      </c>
      <c r="K17" s="7">
        <v>1</v>
      </c>
      <c r="L17" s="3"/>
      <c r="M17" s="2" t="s">
        <v>24</v>
      </c>
      <c r="N17" s="12"/>
      <c r="O17" s="12"/>
      <c r="P17" s="11">
        <f>Base_Salary*AssociateStep15</f>
        <v>80136.540000000008</v>
      </c>
      <c r="Q17" s="11">
        <f>Base_Salary*ProfessorStep15</f>
        <v>81620.549999999988</v>
      </c>
      <c r="R17" s="4"/>
    </row>
    <row r="18" spans="1:18" ht="15" customHeight="1">
      <c r="A18" s="2" t="s">
        <v>26</v>
      </c>
      <c r="B18" s="8">
        <v>0</v>
      </c>
      <c r="C18" s="8">
        <v>0</v>
      </c>
      <c r="D18" s="8">
        <v>1.7050000000000001</v>
      </c>
      <c r="E18" s="8">
        <v>1.75</v>
      </c>
      <c r="F18" s="9"/>
      <c r="G18" s="2" t="s">
        <v>26</v>
      </c>
      <c r="H18" s="7">
        <v>-1</v>
      </c>
      <c r="I18" s="7">
        <v>-1</v>
      </c>
      <c r="J18" s="7">
        <v>1</v>
      </c>
      <c r="K18" s="7">
        <v>1</v>
      </c>
      <c r="L18" s="3"/>
      <c r="M18" s="2" t="s">
        <v>25</v>
      </c>
      <c r="N18" s="12"/>
      <c r="O18" s="12"/>
      <c r="P18" s="11">
        <f>Base_Salary*AssociateStep16</f>
        <v>82362.555000000008</v>
      </c>
      <c r="Q18" s="11">
        <f>Base_Salary*ProfessorStep16</f>
        <v>84093.9</v>
      </c>
      <c r="R18" s="4"/>
    </row>
    <row r="19" spans="1:18" ht="15" customHeight="1">
      <c r="A19" s="2" t="s">
        <v>27</v>
      </c>
      <c r="B19" s="8">
        <v>0</v>
      </c>
      <c r="C19" s="8">
        <v>0</v>
      </c>
      <c r="D19" s="8">
        <v>1.7450000000000001</v>
      </c>
      <c r="E19" s="8">
        <v>1.8</v>
      </c>
      <c r="F19" s="9"/>
      <c r="G19" s="2" t="s">
        <v>27</v>
      </c>
      <c r="H19" s="7">
        <v>-1</v>
      </c>
      <c r="I19" s="7">
        <v>-1</v>
      </c>
      <c r="J19" s="7">
        <v>1</v>
      </c>
      <c r="K19" s="7">
        <v>1</v>
      </c>
      <c r="L19" s="3"/>
      <c r="M19" s="2" t="s">
        <v>26</v>
      </c>
      <c r="N19" s="12"/>
      <c r="O19" s="12"/>
      <c r="P19" s="11">
        <f>Base_Salary*AssociateStep17</f>
        <v>84341.235000000001</v>
      </c>
      <c r="Q19" s="11">
        <f>Base_Salary*ProfessorStep17</f>
        <v>86567.25</v>
      </c>
      <c r="R19" s="4"/>
    </row>
    <row r="20" spans="1:18" ht="15" customHeight="1">
      <c r="A20" s="2" t="s">
        <v>28</v>
      </c>
      <c r="B20" s="8">
        <v>0</v>
      </c>
      <c r="C20" s="8">
        <v>0</v>
      </c>
      <c r="D20" s="8">
        <v>1.7849999999999999</v>
      </c>
      <c r="E20" s="8">
        <v>1.85</v>
      </c>
      <c r="F20" s="9"/>
      <c r="G20" s="2" t="s">
        <v>28</v>
      </c>
      <c r="H20" s="7">
        <v>-1</v>
      </c>
      <c r="I20" s="7">
        <v>-1</v>
      </c>
      <c r="J20" s="7">
        <v>1</v>
      </c>
      <c r="K20" s="7">
        <v>1</v>
      </c>
      <c r="L20" s="3"/>
      <c r="M20" s="2" t="s">
        <v>27</v>
      </c>
      <c r="N20" s="12"/>
      <c r="O20" s="12"/>
      <c r="P20" s="11">
        <f>Base_Salary*AssociateStep18</f>
        <v>86319.915000000008</v>
      </c>
      <c r="Q20" s="11">
        <f>Base_Salary*ProfessorStep18</f>
        <v>89040.6</v>
      </c>
      <c r="R20" s="4"/>
    </row>
    <row r="21" spans="1:18" ht="15" customHeight="1">
      <c r="A21" s="2" t="s">
        <v>29</v>
      </c>
      <c r="B21" s="8">
        <v>0</v>
      </c>
      <c r="C21" s="8">
        <v>0</v>
      </c>
      <c r="D21" s="8">
        <v>1.825</v>
      </c>
      <c r="E21" s="8">
        <v>1.9</v>
      </c>
      <c r="F21" s="9"/>
      <c r="G21" s="2" t="s">
        <v>29</v>
      </c>
      <c r="H21" s="7">
        <v>-1</v>
      </c>
      <c r="I21" s="7">
        <v>-1</v>
      </c>
      <c r="J21" s="7">
        <v>1</v>
      </c>
      <c r="K21" s="7">
        <v>1</v>
      </c>
      <c r="L21" s="3"/>
      <c r="M21" s="2" t="s">
        <v>28</v>
      </c>
      <c r="N21" s="12"/>
      <c r="O21" s="12"/>
      <c r="P21" s="11">
        <f>Base_Salary*AssociateStep19</f>
        <v>88298.595000000001</v>
      </c>
      <c r="Q21" s="11">
        <f>Base_Salary*ProfessorStep19</f>
        <v>91513.950000000012</v>
      </c>
      <c r="R21" s="4"/>
    </row>
    <row r="22" spans="1:18" ht="15" customHeight="1">
      <c r="A22" s="2" t="s">
        <v>30</v>
      </c>
      <c r="B22" s="8">
        <v>0</v>
      </c>
      <c r="C22" s="8">
        <v>0</v>
      </c>
      <c r="D22" s="8">
        <v>1.86</v>
      </c>
      <c r="E22" s="8">
        <v>1.95</v>
      </c>
      <c r="F22" s="9"/>
      <c r="G22" s="2" t="s">
        <v>30</v>
      </c>
      <c r="H22" s="7">
        <v>-1</v>
      </c>
      <c r="I22" s="7">
        <v>-1</v>
      </c>
      <c r="J22" s="7">
        <v>0</v>
      </c>
      <c r="K22" s="7">
        <v>1</v>
      </c>
      <c r="L22" s="3"/>
      <c r="M22" s="2" t="s">
        <v>29</v>
      </c>
      <c r="N22" s="12"/>
      <c r="O22" s="12"/>
      <c r="P22" s="11">
        <f>Base_Salary*AssociateStep20</f>
        <v>90277.274999999994</v>
      </c>
      <c r="Q22" s="11">
        <f>Base_Salary*ProfessorStep20</f>
        <v>93987.299999999988</v>
      </c>
      <c r="R22" s="4"/>
    </row>
    <row r="23" spans="1:18" ht="15" customHeight="1">
      <c r="A23" s="2" t="s">
        <v>31</v>
      </c>
      <c r="B23" s="8">
        <v>0</v>
      </c>
      <c r="C23" s="8">
        <v>0</v>
      </c>
      <c r="D23" s="8">
        <v>0</v>
      </c>
      <c r="E23" s="8">
        <v>2</v>
      </c>
      <c r="F23" s="9"/>
      <c r="G23" s="2" t="s">
        <v>31</v>
      </c>
      <c r="H23" s="7">
        <v>-1</v>
      </c>
      <c r="I23" s="7">
        <v>-1</v>
      </c>
      <c r="J23" s="7">
        <v>-1</v>
      </c>
      <c r="K23" s="7">
        <v>1</v>
      </c>
      <c r="L23" s="3"/>
      <c r="M23" s="2" t="s">
        <v>30</v>
      </c>
      <c r="N23" s="12"/>
      <c r="O23" s="12"/>
      <c r="P23" s="11">
        <f>Base_Salary*AssociateStep21</f>
        <v>92008.62000000001</v>
      </c>
      <c r="Q23" s="11">
        <f>Base_Salary*ProfessorStep21</f>
        <v>96460.65</v>
      </c>
      <c r="R23" s="4"/>
    </row>
    <row r="24" spans="1:18" ht="15" customHeight="1">
      <c r="A24" s="2" t="s">
        <v>32</v>
      </c>
      <c r="B24" s="8">
        <v>0</v>
      </c>
      <c r="C24" s="8">
        <v>0</v>
      </c>
      <c r="D24" s="8">
        <v>0</v>
      </c>
      <c r="E24" s="8">
        <v>2.0499999999999998</v>
      </c>
      <c r="F24" s="9"/>
      <c r="G24" s="2" t="s">
        <v>32</v>
      </c>
      <c r="H24" s="7">
        <v>-1</v>
      </c>
      <c r="I24" s="7">
        <v>-1</v>
      </c>
      <c r="J24" s="7">
        <v>-1</v>
      </c>
      <c r="K24" s="7">
        <v>1</v>
      </c>
      <c r="L24" s="3"/>
      <c r="M24" s="2" t="s">
        <v>31</v>
      </c>
      <c r="N24" s="12"/>
      <c r="O24" s="12"/>
      <c r="P24" s="12"/>
      <c r="Q24" s="11">
        <f>Base_Salary*ProfessorStep22</f>
        <v>98934</v>
      </c>
      <c r="R24" s="4"/>
    </row>
    <row r="25" spans="1:18" ht="15" customHeight="1">
      <c r="A25" s="2" t="s">
        <v>33</v>
      </c>
      <c r="B25" s="8">
        <v>0</v>
      </c>
      <c r="C25" s="8">
        <v>0</v>
      </c>
      <c r="D25" s="8">
        <v>0</v>
      </c>
      <c r="E25" s="8">
        <v>2.0950000000000002</v>
      </c>
      <c r="F25" s="9"/>
      <c r="G25" s="2" t="s">
        <v>33</v>
      </c>
      <c r="H25" s="7">
        <v>-1</v>
      </c>
      <c r="I25" s="7">
        <v>-1</v>
      </c>
      <c r="J25" s="7">
        <v>-1</v>
      </c>
      <c r="K25" s="7">
        <v>1</v>
      </c>
      <c r="L25" s="3"/>
      <c r="M25" s="2" t="s">
        <v>32</v>
      </c>
      <c r="N25" s="12"/>
      <c r="O25" s="12"/>
      <c r="P25" s="12"/>
      <c r="Q25" s="11">
        <f>Base_Salary*ProfessorStep23</f>
        <v>101407.34999999999</v>
      </c>
      <c r="R25" s="4"/>
    </row>
    <row r="26" spans="1:18" ht="15" customHeight="1">
      <c r="A26" s="2" t="s">
        <v>34</v>
      </c>
      <c r="B26" s="8">
        <v>0</v>
      </c>
      <c r="C26" s="8">
        <v>0</v>
      </c>
      <c r="D26" s="8">
        <v>0</v>
      </c>
      <c r="E26" s="8">
        <v>2.14</v>
      </c>
      <c r="F26" s="9"/>
      <c r="G26" s="2" t="s">
        <v>34</v>
      </c>
      <c r="H26" s="7">
        <v>-1</v>
      </c>
      <c r="I26" s="7">
        <v>-1</v>
      </c>
      <c r="J26" s="7">
        <v>-1</v>
      </c>
      <c r="K26" s="7">
        <v>1</v>
      </c>
      <c r="L26" s="3"/>
      <c r="M26" s="2" t="s">
        <v>33</v>
      </c>
      <c r="N26" s="12"/>
      <c r="O26" s="12"/>
      <c r="P26" s="12"/>
      <c r="Q26" s="11">
        <f>Base_Salary*ProfessorStep24</f>
        <v>103633.36500000001</v>
      </c>
      <c r="R26" s="4"/>
    </row>
    <row r="27" spans="1:18" ht="15" customHeight="1">
      <c r="A27" s="2" t="s">
        <v>35</v>
      </c>
      <c r="B27" s="8">
        <v>0</v>
      </c>
      <c r="C27" s="8">
        <v>0</v>
      </c>
      <c r="D27" s="8">
        <v>0</v>
      </c>
      <c r="E27" s="8">
        <v>2.1850000000000001</v>
      </c>
      <c r="F27" s="9"/>
      <c r="G27" s="2" t="s">
        <v>35</v>
      </c>
      <c r="H27" s="7">
        <v>-1</v>
      </c>
      <c r="I27" s="7">
        <v>-1</v>
      </c>
      <c r="J27" s="7">
        <v>-1</v>
      </c>
      <c r="K27" s="7">
        <v>1</v>
      </c>
      <c r="L27" s="3"/>
      <c r="M27" s="2" t="s">
        <v>34</v>
      </c>
      <c r="N27" s="12"/>
      <c r="O27" s="12"/>
      <c r="P27" s="12"/>
      <c r="Q27" s="11">
        <f>Base_Salary*ProfessorStep25</f>
        <v>105859.38</v>
      </c>
      <c r="R27" s="4"/>
    </row>
    <row r="28" spans="1:18" ht="15" customHeight="1">
      <c r="A28" s="2" t="s">
        <v>36</v>
      </c>
      <c r="B28" s="8">
        <v>0</v>
      </c>
      <c r="C28" s="8">
        <v>0</v>
      </c>
      <c r="D28" s="8">
        <v>0</v>
      </c>
      <c r="E28" s="8">
        <v>2.2250000000000001</v>
      </c>
      <c r="F28" s="9"/>
      <c r="G28" s="2" t="s">
        <v>36</v>
      </c>
      <c r="H28" s="7">
        <v>-1</v>
      </c>
      <c r="I28" s="7">
        <v>-1</v>
      </c>
      <c r="J28" s="7">
        <v>-1</v>
      </c>
      <c r="K28" s="7">
        <v>0</v>
      </c>
      <c r="L28" s="3"/>
      <c r="M28" s="2" t="s">
        <v>35</v>
      </c>
      <c r="N28" s="12"/>
      <c r="O28" s="12"/>
      <c r="P28" s="12"/>
      <c r="Q28" s="11">
        <f>Base_Salary*ProfessorStep26</f>
        <v>108085.395</v>
      </c>
      <c r="R28" s="4"/>
    </row>
    <row r="29" spans="1:18" ht="15" thickBot="1">
      <c r="A29" s="14"/>
      <c r="B29" s="14"/>
      <c r="C29" s="14"/>
      <c r="D29" s="14"/>
      <c r="E29" s="14"/>
      <c r="F29" s="15"/>
      <c r="G29" s="14"/>
      <c r="H29" s="14"/>
      <c r="I29" s="14"/>
      <c r="J29" s="14"/>
      <c r="K29" s="14"/>
      <c r="L29" s="15"/>
      <c r="M29" s="14" t="s">
        <v>36</v>
      </c>
      <c r="N29" s="16"/>
      <c r="O29" s="16"/>
      <c r="P29" s="16"/>
      <c r="Q29" s="17">
        <f>Base_Salary*ProfessorStep27</f>
        <v>110064.07500000001</v>
      </c>
      <c r="R29" s="18"/>
    </row>
    <row r="30" spans="1:18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Master</vt:lpstr>
      <vt:lpstr>Salary Info</vt:lpstr>
      <vt:lpstr>AssistantStep10</vt:lpstr>
      <vt:lpstr>AssistantStep11</vt:lpstr>
      <vt:lpstr>AssistantStep12</vt:lpstr>
      <vt:lpstr>AssistantStep13</vt:lpstr>
      <vt:lpstr>AssistantStep14</vt:lpstr>
      <vt:lpstr>AssistantStep4</vt:lpstr>
      <vt:lpstr>AssistantStep5</vt:lpstr>
      <vt:lpstr>AssistantStep6</vt:lpstr>
      <vt:lpstr>AssistantStep7</vt:lpstr>
      <vt:lpstr>AssistantStep8</vt:lpstr>
      <vt:lpstr>AssistantStep9</vt:lpstr>
      <vt:lpstr>AssociateStep10</vt:lpstr>
      <vt:lpstr>AssociateStep11</vt:lpstr>
      <vt:lpstr>AssociateStep12</vt:lpstr>
      <vt:lpstr>AssociateStep13</vt:lpstr>
      <vt:lpstr>AssociateStep14</vt:lpstr>
      <vt:lpstr>AssociateStep15</vt:lpstr>
      <vt:lpstr>AssociateStep16</vt:lpstr>
      <vt:lpstr>AssociateStep17</vt:lpstr>
      <vt:lpstr>AssociateStep18</vt:lpstr>
      <vt:lpstr>AssociateStep19</vt:lpstr>
      <vt:lpstr>AssociateStep20</vt:lpstr>
      <vt:lpstr>AssociateStep21</vt:lpstr>
      <vt:lpstr>AssociateStep9</vt:lpstr>
      <vt:lpstr>Base_Salary</vt:lpstr>
      <vt:lpstr>InstructorStep1</vt:lpstr>
      <vt:lpstr>InstructorStep2</vt:lpstr>
      <vt:lpstr>InstructorStep3</vt:lpstr>
      <vt:lpstr>InstructorStep4</vt:lpstr>
      <vt:lpstr>InstructorStep5</vt:lpstr>
      <vt:lpstr>InstructorStep6</vt:lpstr>
      <vt:lpstr>InstructorStep7</vt:lpstr>
      <vt:lpstr>InstructorStep8</vt:lpstr>
      <vt:lpstr>ProfessorStep15</vt:lpstr>
      <vt:lpstr>ProfessorStep16</vt:lpstr>
      <vt:lpstr>ProfessorStep17</vt:lpstr>
      <vt:lpstr>ProfessorStep18</vt:lpstr>
      <vt:lpstr>ProfessorStep19</vt:lpstr>
      <vt:lpstr>ProfessorStep20</vt:lpstr>
      <vt:lpstr>ProfessorStep21</vt:lpstr>
      <vt:lpstr>ProfessorStep22</vt:lpstr>
      <vt:lpstr>ProfessorStep23</vt:lpstr>
      <vt:lpstr>ProfessorStep24</vt:lpstr>
      <vt:lpstr>ProfessorStep25</vt:lpstr>
      <vt:lpstr>ProfessorStep26</vt:lpstr>
      <vt:lpstr>ProfessorStep27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Dols</dc:creator>
  <cp:lastModifiedBy>NICO DELA CRUZ</cp:lastModifiedBy>
  <dcterms:created xsi:type="dcterms:W3CDTF">2019-11-20T21:44:38Z</dcterms:created>
  <dcterms:modified xsi:type="dcterms:W3CDTF">2020-04-23T20:33:41Z</dcterms:modified>
</cp:coreProperties>
</file>